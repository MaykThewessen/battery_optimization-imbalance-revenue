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yk/Documents/GitHub/battery_model_gschivley/results/2024_609cycles_definitief/"/>
    </mc:Choice>
  </mc:AlternateContent>
  <xr:revisionPtr revIDLastSave="0" documentId="13_ncr:1_{65500D5E-D0E5-3E43-B1AD-0F5D3090315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I11" i="1"/>
  <c r="I10" i="1"/>
  <c r="I6" i="1"/>
  <c r="I9" i="1"/>
  <c r="I23" i="1"/>
  <c r="C27" i="1"/>
  <c r="C10" i="1"/>
  <c r="C1" i="1"/>
  <c r="C2" i="1"/>
  <c r="C3" i="1"/>
  <c r="E21" i="1"/>
  <c r="E20" i="1"/>
  <c r="E19" i="1"/>
  <c r="C15" i="1"/>
  <c r="E15" i="1" s="1"/>
  <c r="C14" i="1"/>
  <c r="C7" i="1"/>
  <c r="C8" i="1"/>
  <c r="C9" i="1"/>
  <c r="C11" i="1"/>
  <c r="C12" i="1"/>
  <c r="C13" i="1"/>
  <c r="C16" i="1"/>
  <c r="E16" i="1" s="1"/>
  <c r="C17" i="1"/>
  <c r="E17" i="1" s="1"/>
  <c r="C18" i="1"/>
  <c r="E18" i="1" s="1"/>
  <c r="C19" i="1"/>
  <c r="C20" i="1"/>
  <c r="C21" i="1"/>
  <c r="C22" i="1"/>
  <c r="C23" i="1"/>
  <c r="C24" i="1"/>
  <c r="C6" i="1"/>
</calcChain>
</file>

<file path=xl/sharedStrings.xml><?xml version="1.0" encoding="utf-8"?>
<sst xmlns="http://schemas.openxmlformats.org/spreadsheetml/2006/main" count="69" uniqueCount="54">
  <si>
    <t>Year_price_data</t>
  </si>
  <si>
    <t>Elec_price</t>
  </si>
  <si>
    <t>NL</t>
  </si>
  <si>
    <t>Dispatch_strategy</t>
  </si>
  <si>
    <t>max_profit GPLK optimization, 98 percent perfect solution, real world can be 10-20% lower profit</t>
  </si>
  <si>
    <t>Battery_capacity_kWh</t>
  </si>
  <si>
    <t>Battery_power_kW</t>
  </si>
  <si>
    <t>Battery_CAPEX_investment</t>
  </si>
  <si>
    <t>annual_revenue</t>
  </si>
  <si>
    <t>annual_charge_cost</t>
  </si>
  <si>
    <t>annual_profit</t>
  </si>
  <si>
    <t>payback_time</t>
  </si>
  <si>
    <t>annual_charge</t>
  </si>
  <si>
    <t>annual_discharge</t>
  </si>
  <si>
    <t>annual_charge_losses</t>
  </si>
  <si>
    <t>cycle_depreciation_cost_Euro_per_MWh</t>
  </si>
  <si>
    <t>cycles_made_per_year</t>
  </si>
  <si>
    <t>annual_depreciation_cost</t>
  </si>
  <si>
    <t>avg_charge_price_Euro_per_MWh</t>
  </si>
  <si>
    <t>avg_discharge_price_Euro_per_MWh</t>
  </si>
  <si>
    <t>avg_charge_losses_percent</t>
  </si>
  <si>
    <t>avg_spread_price_Euro_per_MWh</t>
  </si>
  <si>
    <t>avg_profit_price_Euro_per_MWh</t>
  </si>
  <si>
    <t>cycle_depreciation_cost_for_1MWh</t>
  </si>
  <si>
    <t>annual_profit_per_1MWh_battery_capacity</t>
  </si>
  <si>
    <t>total_profit_per_1MW_battery_power</t>
  </si>
  <si>
    <t>kWh</t>
  </si>
  <si>
    <t>per MWh</t>
  </si>
  <si>
    <t>cycles per year</t>
  </si>
  <si>
    <t>per kWh</t>
  </si>
  <si>
    <t>per MW</t>
  </si>
  <si>
    <t>year</t>
  </si>
  <si>
    <t>annual usage</t>
  </si>
  <si>
    <t>kWh per year</t>
  </si>
  <si>
    <t>Battery reduces total price with:</t>
  </si>
  <si>
    <t>echte batterij resulaten 2024:</t>
  </si>
  <si>
    <t>profit per year, realistically</t>
  </si>
  <si>
    <t>year payback, realistically</t>
  </si>
  <si>
    <t>installatiekosten:</t>
  </si>
  <si>
    <t>rendement op investering</t>
  </si>
  <si>
    <t>transport kosten</t>
  </si>
  <si>
    <t>verschil door:</t>
  </si>
  <si>
    <t>EMS betaalt 10% afslag</t>
  </si>
  <si>
    <t>Transportkosten</t>
  </si>
  <si>
    <t>onderhoud / service</t>
  </si>
  <si>
    <t>garantie abbonement</t>
  </si>
  <si>
    <t>huur Joulz meetdienst</t>
  </si>
  <si>
    <t>Energieleverancier kosten markt toegang</t>
  </si>
  <si>
    <t>Realistic conclusion:</t>
  </si>
  <si>
    <t>totale kosten aanschaf en installatie batterij</t>
  </si>
  <si>
    <t>jaar</t>
  </si>
  <si>
    <t>kW</t>
  </si>
  <si>
    <t>winst bij perfect inzicht</t>
  </si>
  <si>
    <t>maal opladen per dag gemiddeld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</si>
</sst>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€&quot;\ * #,##0.00_);_(&quot;€&quot;\ * \(#,##0.00\);_(&quot;€&quot;\ * &quot;-&quot;??_);_(@_)"/>
    <numFmt numFmtId="43" formatCode="_(* #,##0.00_);_(* \(#,##0.00\);_(* &quot;-&quot;??_);_(@_)"/>
    <numFmt numFmtId="164" formatCode="_(&quot;€&quot;\ * #,##0_);_(&quot;€&quot;\ * \(#,##0\);_(&quot;€&quot;\ * &quot;-&quot;??_);_(@_)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_(&quot;€&quot;\ * #,##0.000_);_(&quot;€&quot;\ * \(#,##0.000\);_(&quot;€&quot;\ 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4" fontId="0" fillId="0" borderId="0" xfId="2" applyFont="1"/>
    <xf numFmtId="164" fontId="0" fillId="0" borderId="0" xfId="2" applyNumberFormat="1" applyFont="1"/>
    <xf numFmtId="43" fontId="0" fillId="0" borderId="0" xfId="1" applyFont="1"/>
    <xf numFmtId="166" fontId="0" fillId="0" borderId="0" xfId="1" applyNumberFormat="1" applyFont="1"/>
    <xf numFmtId="165" fontId="0" fillId="0" borderId="0" xfId="0" applyNumberFormat="1"/>
    <xf numFmtId="44" fontId="0" fillId="0" borderId="0" xfId="0" applyNumberFormat="1"/>
    <xf numFmtId="0" fontId="1" fillId="0" borderId="0" xfId="0" applyFont="1" applyAlignment="1">
      <alignment horizontal="center" vertical="top"/>
    </xf>
    <xf numFmtId="9" fontId="0" fillId="0" borderId="0" xfId="3" applyFont="1"/>
    <xf numFmtId="168" fontId="0" fillId="0" borderId="0" xfId="2" applyNumberFormat="1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167" fontId="0" fillId="0" borderId="5" xfId="0" applyNumberFormat="1" applyBorder="1"/>
    <xf numFmtId="0" fontId="0" fillId="0" borderId="6" xfId="0" applyBorder="1"/>
    <xf numFmtId="9" fontId="0" fillId="0" borderId="5" xfId="3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164" fontId="6" fillId="0" borderId="0" xfId="2" applyNumberFormat="1" applyFont="1"/>
    <xf numFmtId="44" fontId="6" fillId="0" borderId="0" xfId="0" applyNumberFormat="1" applyFont="1"/>
  </cellXfs>
  <cellStyles count="4">
    <cellStyle name="Komma" xfId="1" builtinId="3"/>
    <cellStyle name="Procent" xfId="3" builtinId="5"/>
    <cellStyle name="Standaard" xfId="0" builtinId="0"/>
    <cellStyle name="Valuta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150" workbookViewId="0">
      <selection activeCell="M11" sqref="M11"/>
    </sheetView>
  </sheetViews>
  <sheetFormatPr baseColWidth="10" defaultColWidth="8.83203125" defaultRowHeight="15" x14ac:dyDescent="0.2"/>
  <cols>
    <col min="1" max="1" width="35.5" bestFit="1" customWidth="1"/>
    <col min="2" max="2" width="13.33203125" hidden="1" customWidth="1"/>
    <col min="3" max="3" width="13.33203125" bestFit="1" customWidth="1"/>
    <col min="4" max="4" width="10.6640625" customWidth="1"/>
    <col min="7" max="7" width="10.1640625" customWidth="1"/>
    <col min="8" max="8" width="12" bestFit="1" customWidth="1"/>
    <col min="9" max="9" width="11.83203125" customWidth="1"/>
  </cols>
  <sheetData>
    <row r="1" spans="1:12" x14ac:dyDescent="0.2">
      <c r="A1" s="1" t="s">
        <v>0</v>
      </c>
      <c r="B1">
        <v>2024</v>
      </c>
      <c r="C1" s="2">
        <f>B1</f>
        <v>2024</v>
      </c>
      <c r="D1" t="s">
        <v>50</v>
      </c>
    </row>
    <row r="2" spans="1:12" x14ac:dyDescent="0.2">
      <c r="A2" s="1" t="s">
        <v>1</v>
      </c>
      <c r="B2" s="2" t="s">
        <v>2</v>
      </c>
      <c r="C2" s="2" t="str">
        <f>B2</f>
        <v>NL</v>
      </c>
    </row>
    <row r="3" spans="1:12" x14ac:dyDescent="0.2">
      <c r="A3" s="1" t="s">
        <v>3</v>
      </c>
      <c r="B3" t="s">
        <v>4</v>
      </c>
      <c r="C3" t="str">
        <f>B3</f>
        <v>max_profit GPLK optimization, 98 percent perfect solution, real world can be 10-20% lower profit</v>
      </c>
    </row>
    <row r="4" spans="1:12" x14ac:dyDescent="0.2">
      <c r="A4" s="1" t="s">
        <v>5</v>
      </c>
      <c r="B4">
        <v>200</v>
      </c>
      <c r="C4">
        <v>400</v>
      </c>
      <c r="D4" t="s">
        <v>26</v>
      </c>
    </row>
    <row r="5" spans="1:12" x14ac:dyDescent="0.2">
      <c r="A5" s="1" t="s">
        <v>6</v>
      </c>
      <c r="B5">
        <v>100</v>
      </c>
      <c r="C5">
        <v>200</v>
      </c>
      <c r="D5" t="s">
        <v>51</v>
      </c>
    </row>
    <row r="6" spans="1:12" x14ac:dyDescent="0.2">
      <c r="A6" s="1" t="s">
        <v>7</v>
      </c>
      <c r="B6" s="4">
        <v>60000</v>
      </c>
      <c r="C6" s="4">
        <f>B6*2</f>
        <v>120000</v>
      </c>
      <c r="E6" t="s">
        <v>38</v>
      </c>
      <c r="G6" s="4">
        <v>30000</v>
      </c>
      <c r="I6" s="24">
        <f>G6+C6</f>
        <v>150000</v>
      </c>
      <c r="J6" s="25" t="s">
        <v>49</v>
      </c>
    </row>
    <row r="7" spans="1:12" x14ac:dyDescent="0.2">
      <c r="A7" s="1" t="s">
        <v>8</v>
      </c>
      <c r="B7" s="4">
        <v>34710</v>
      </c>
      <c r="C7" s="4">
        <f t="shared" ref="C7:C24" si="0">B7*2</f>
        <v>69420</v>
      </c>
    </row>
    <row r="8" spans="1:12" ht="16" thickBot="1" x14ac:dyDescent="0.25">
      <c r="A8" s="1" t="s">
        <v>9</v>
      </c>
      <c r="B8" s="4">
        <v>-7218</v>
      </c>
      <c r="C8" s="26">
        <f t="shared" si="0"/>
        <v>-14436</v>
      </c>
      <c r="I8" t="s">
        <v>48</v>
      </c>
    </row>
    <row r="9" spans="1:12" x14ac:dyDescent="0.2">
      <c r="A9" s="1" t="s">
        <v>10</v>
      </c>
      <c r="B9" s="4">
        <v>41928</v>
      </c>
      <c r="C9" s="4">
        <f t="shared" si="0"/>
        <v>83856</v>
      </c>
      <c r="D9" t="s">
        <v>52</v>
      </c>
      <c r="I9" s="14">
        <f>I23*C9</f>
        <v>49999.046001793511</v>
      </c>
      <c r="J9" s="15" t="s">
        <v>36</v>
      </c>
      <c r="K9" s="15"/>
      <c r="L9" s="16"/>
    </row>
    <row r="10" spans="1:12" x14ac:dyDescent="0.2">
      <c r="A10" s="1" t="s">
        <v>11</v>
      </c>
      <c r="B10">
        <v>0.7</v>
      </c>
      <c r="C10" s="5">
        <f>B10</f>
        <v>0.7</v>
      </c>
      <c r="D10" t="s">
        <v>31</v>
      </c>
      <c r="I10" s="17">
        <f>I6/I9</f>
        <v>3.0000572409845452</v>
      </c>
      <c r="J10" t="s">
        <v>37</v>
      </c>
      <c r="L10" s="18"/>
    </row>
    <row r="11" spans="1:12" x14ac:dyDescent="0.2">
      <c r="A11" s="1" t="s">
        <v>12</v>
      </c>
      <c r="B11" s="6">
        <v>121885</v>
      </c>
      <c r="C11" s="6">
        <f t="shared" si="0"/>
        <v>243770</v>
      </c>
      <c r="D11" t="s">
        <v>26</v>
      </c>
      <c r="I11" s="19">
        <f>1/I10</f>
        <v>0.3333269733452901</v>
      </c>
      <c r="J11" t="s">
        <v>39</v>
      </c>
      <c r="L11" s="18"/>
    </row>
    <row r="12" spans="1:12" ht="16" thickBot="1" x14ac:dyDescent="0.25">
      <c r="A12" s="1" t="s">
        <v>13</v>
      </c>
      <c r="B12" s="6">
        <v>103638</v>
      </c>
      <c r="C12" s="6">
        <f t="shared" si="0"/>
        <v>207276</v>
      </c>
      <c r="D12" t="s">
        <v>26</v>
      </c>
      <c r="I12" s="20"/>
      <c r="J12" s="21"/>
      <c r="K12" s="21"/>
      <c r="L12" s="22"/>
    </row>
    <row r="13" spans="1:12" x14ac:dyDescent="0.2">
      <c r="A13" s="1" t="s">
        <v>14</v>
      </c>
      <c r="B13" s="6">
        <v>18247</v>
      </c>
      <c r="C13" s="6">
        <f t="shared" si="0"/>
        <v>36494</v>
      </c>
      <c r="D13" t="s">
        <v>26</v>
      </c>
    </row>
    <row r="14" spans="1:12" x14ac:dyDescent="0.2">
      <c r="A14" s="1" t="s">
        <v>15</v>
      </c>
      <c r="B14">
        <v>50</v>
      </c>
      <c r="C14" s="3">
        <f>B14*1</f>
        <v>50</v>
      </c>
      <c r="D14" t="s">
        <v>27</v>
      </c>
    </row>
    <row r="15" spans="1:12" x14ac:dyDescent="0.2">
      <c r="A15" s="1" t="s">
        <v>16</v>
      </c>
      <c r="B15">
        <v>609</v>
      </c>
      <c r="C15" s="6">
        <f>B15*1</f>
        <v>609</v>
      </c>
      <c r="D15" t="s">
        <v>28</v>
      </c>
      <c r="E15" s="7">
        <f>C15/365</f>
        <v>1.6684931506849314</v>
      </c>
      <c r="F15" t="s">
        <v>53</v>
      </c>
    </row>
    <row r="16" spans="1:12" x14ac:dyDescent="0.2">
      <c r="A16" s="1" t="s">
        <v>17</v>
      </c>
      <c r="B16">
        <v>6094</v>
      </c>
      <c r="C16" s="4">
        <f t="shared" si="0"/>
        <v>12188</v>
      </c>
      <c r="E16" s="8">
        <f t="shared" ref="E16:E21" si="1">C16/1000</f>
        <v>12.188000000000001</v>
      </c>
      <c r="F16" t="s">
        <v>29</v>
      </c>
    </row>
    <row r="17" spans="1:12" x14ac:dyDescent="0.2">
      <c r="A17" s="1" t="s">
        <v>18</v>
      </c>
      <c r="B17" s="4">
        <v>-59.224830291171742</v>
      </c>
      <c r="C17" s="26">
        <f t="shared" si="0"/>
        <v>-118.44966058234348</v>
      </c>
      <c r="D17" t="s">
        <v>27</v>
      </c>
      <c r="E17" s="27">
        <f t="shared" si="1"/>
        <v>-0.11844966058234348</v>
      </c>
      <c r="F17" t="s">
        <v>29</v>
      </c>
    </row>
    <row r="18" spans="1:12" x14ac:dyDescent="0.2">
      <c r="A18" s="1" t="s">
        <v>19</v>
      </c>
      <c r="B18" s="4">
        <v>334.91625886459252</v>
      </c>
      <c r="C18" s="4">
        <f t="shared" si="0"/>
        <v>669.83251772918504</v>
      </c>
      <c r="D18" t="s">
        <v>27</v>
      </c>
      <c r="E18" s="8">
        <f t="shared" si="1"/>
        <v>0.66983251772918506</v>
      </c>
      <c r="F18" t="s">
        <v>29</v>
      </c>
    </row>
    <row r="19" spans="1:12" x14ac:dyDescent="0.2">
      <c r="A19" s="1" t="s">
        <v>20</v>
      </c>
      <c r="B19" s="4">
        <v>0.14971008695461269</v>
      </c>
      <c r="C19" s="4">
        <f t="shared" si="0"/>
        <v>0.29942017390922537</v>
      </c>
      <c r="E19" s="8">
        <f t="shared" si="1"/>
        <v>2.9942017390922535E-4</v>
      </c>
      <c r="F19" t="s">
        <v>29</v>
      </c>
    </row>
    <row r="20" spans="1:12" x14ac:dyDescent="0.2">
      <c r="A20" s="1" t="s">
        <v>21</v>
      </c>
      <c r="B20" s="4">
        <v>394.14108915576418</v>
      </c>
      <c r="C20" s="4">
        <f t="shared" si="0"/>
        <v>788.28217831152836</v>
      </c>
      <c r="E20" s="8">
        <f t="shared" si="1"/>
        <v>0.78828217831152836</v>
      </c>
      <c r="F20" t="s">
        <v>29</v>
      </c>
    </row>
    <row r="21" spans="1:12" x14ac:dyDescent="0.2">
      <c r="A21" s="1" t="s">
        <v>22</v>
      </c>
      <c r="B21" s="4">
        <v>344.00074691863239</v>
      </c>
      <c r="C21" s="4">
        <f t="shared" si="0"/>
        <v>688.00149383726477</v>
      </c>
      <c r="E21" s="8">
        <f t="shared" si="1"/>
        <v>0.68800149383726472</v>
      </c>
      <c r="F21" t="s">
        <v>29</v>
      </c>
    </row>
    <row r="22" spans="1:12" x14ac:dyDescent="0.2">
      <c r="A22" s="1" t="s">
        <v>23</v>
      </c>
      <c r="B22" s="4">
        <v>30471</v>
      </c>
      <c r="C22" s="4">
        <f t="shared" si="0"/>
        <v>60942</v>
      </c>
      <c r="D22" t="s">
        <v>27</v>
      </c>
      <c r="E22" s="8"/>
    </row>
    <row r="23" spans="1:12" x14ac:dyDescent="0.2">
      <c r="A23" s="1" t="s">
        <v>24</v>
      </c>
      <c r="B23" s="4">
        <v>209644</v>
      </c>
      <c r="C23" s="4">
        <f t="shared" si="0"/>
        <v>419288</v>
      </c>
      <c r="D23" t="s">
        <v>27</v>
      </c>
      <c r="E23" s="23" t="s">
        <v>35</v>
      </c>
      <c r="H23" s="4">
        <v>250000</v>
      </c>
      <c r="I23" s="10">
        <f>H23/C23</f>
        <v>0.59624887905210733</v>
      </c>
      <c r="K23" s="13" t="s">
        <v>41</v>
      </c>
    </row>
    <row r="24" spans="1:12" x14ac:dyDescent="0.2">
      <c r="A24" s="1" t="s">
        <v>25</v>
      </c>
      <c r="B24" s="4">
        <v>419288</v>
      </c>
      <c r="C24" s="4">
        <f t="shared" si="0"/>
        <v>838576</v>
      </c>
      <c r="D24" t="s">
        <v>30</v>
      </c>
      <c r="L24" t="s">
        <v>42</v>
      </c>
    </row>
    <row r="25" spans="1:12" x14ac:dyDescent="0.2">
      <c r="L25" t="s">
        <v>43</v>
      </c>
    </row>
    <row r="26" spans="1:12" x14ac:dyDescent="0.2">
      <c r="A26" s="9" t="s">
        <v>32</v>
      </c>
      <c r="C26" s="6">
        <v>2500000</v>
      </c>
      <c r="D26" t="s">
        <v>33</v>
      </c>
      <c r="L26" t="s">
        <v>44</v>
      </c>
    </row>
    <row r="27" spans="1:12" x14ac:dyDescent="0.2">
      <c r="A27" s="9" t="s">
        <v>34</v>
      </c>
      <c r="C27" s="3">
        <f>C9/C26</f>
        <v>3.35424E-2</v>
      </c>
      <c r="D27" t="s">
        <v>29</v>
      </c>
      <c r="L27" t="s">
        <v>45</v>
      </c>
    </row>
    <row r="28" spans="1:12" x14ac:dyDescent="0.2">
      <c r="L28" t="s">
        <v>46</v>
      </c>
    </row>
    <row r="29" spans="1:12" x14ac:dyDescent="0.2">
      <c r="A29" s="12" t="s">
        <v>40</v>
      </c>
      <c r="C29" s="11">
        <v>2.7E-2</v>
      </c>
      <c r="D29" t="s">
        <v>29</v>
      </c>
      <c r="L29" t="s">
        <v>47</v>
      </c>
    </row>
    <row r="30" spans="1:12" x14ac:dyDescent="0.2">
      <c r="A30" s="12" t="s">
        <v>40</v>
      </c>
      <c r="C30" s="4">
        <f>C29*C11</f>
        <v>6581.79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Mayk Thewessen | Treehouse Energy</cp:lastModifiedBy>
  <dcterms:created xsi:type="dcterms:W3CDTF">2025-02-12T08:17:57Z</dcterms:created>
  <dcterms:modified xsi:type="dcterms:W3CDTF">2025-02-12T10:02:15Z</dcterms:modified>
</cp:coreProperties>
</file>